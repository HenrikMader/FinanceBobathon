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Overview" sheetId="1" state="visible" r:id="rId1"/>
    <sheet name="Notes &amp; 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</font>
    <font>
      <b val="1"/>
      <sz val="1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0" borderId="0" pivotButton="0" quotePrefix="0" xfId="0"/>
    <xf numFmtId="3" fontId="0" fillId="0" borderId="1" applyAlignment="1" pivotButton="0" quotePrefix="0" xfId="0">
      <alignment horizontal="right"/>
    </xf>
    <xf numFmtId="3" fontId="3" fillId="3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3" fontId="0" fillId="4" borderId="1" applyAlignment="1" pivotButton="0" quotePrefix="0" xfId="0">
      <alignment horizontal="right"/>
    </xf>
    <xf numFmtId="0" fontId="4" fillId="0" borderId="0" pivotButton="0" quotePrefix="0" xfId="0"/>
    <xf numFmtId="3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Acme GmbH — Budget Controlling 2024 (Plan vs. Ist)</t>
        </is>
      </c>
    </row>
    <row r="3" ht="30" customHeight="1">
      <c r="A3" s="2" t="inlineStr">
        <is>
          <t>Kostenstelle</t>
        </is>
      </c>
      <c r="B3" s="2" t="inlineStr">
        <is>
          <t>Q1 Plan (€)</t>
        </is>
      </c>
      <c r="C3" s="2" t="inlineStr">
        <is>
          <t>Q1 Ist (€)</t>
        </is>
      </c>
      <c r="D3" s="2" t="inlineStr">
        <is>
          <t>Q1 Abw. (€)</t>
        </is>
      </c>
      <c r="E3" s="2" t="inlineStr">
        <is>
          <t>Q2 Plan (€)</t>
        </is>
      </c>
      <c r="F3" s="2" t="inlineStr">
        <is>
          <t>Q2 Ist (€)</t>
        </is>
      </c>
      <c r="G3" s="2" t="inlineStr">
        <is>
          <t>Q2 Abw. (€)</t>
        </is>
      </c>
      <c r="H3" s="2" t="inlineStr">
        <is>
          <t>Q3 Plan (€)</t>
        </is>
      </c>
      <c r="I3" s="2" t="inlineStr">
        <is>
          <t>Q3 Ist (€)</t>
        </is>
      </c>
      <c r="J3" s="2" t="inlineStr">
        <is>
          <t>Q3 Abw. (€)</t>
        </is>
      </c>
      <c r="K3" s="2" t="inlineStr">
        <is>
          <t>Q4 Plan (€)</t>
        </is>
      </c>
      <c r="L3" s="2" t="inlineStr">
        <is>
          <t>Q4 Ist (€)</t>
        </is>
      </c>
      <c r="M3" s="2" t="inlineStr">
        <is>
          <t>Q4 Abw. (€)</t>
        </is>
      </c>
      <c r="N3" s="2" t="inlineStr">
        <is>
          <t>Jahres-Plan (€)</t>
        </is>
      </c>
      <c r="O3" s="2" t="inlineStr">
        <is>
          <t>Jahres-Ist (€)</t>
        </is>
      </c>
      <c r="P3" s="2" t="inlineStr">
        <is>
          <t>Jahres-Abw. (€)</t>
        </is>
      </c>
      <c r="Q3" s="2" t="inlineStr">
        <is>
          <t>Abw. %</t>
        </is>
      </c>
    </row>
    <row r="4">
      <c r="A4" s="3" t="inlineStr">
        <is>
          <t>CC100 — Sales</t>
        </is>
      </c>
      <c r="B4" s="4" t="n">
        <v>240000</v>
      </c>
      <c r="C4" s="4" t="n">
        <v>244685</v>
      </c>
      <c r="D4" s="4">
        <f>C4-B4</f>
        <v/>
      </c>
      <c r="E4" s="4" t="n">
        <v>300000</v>
      </c>
      <c r="F4" s="4" t="n">
        <v>280050</v>
      </c>
      <c r="G4" s="4">
        <f>F4-E4</f>
        <v/>
      </c>
      <c r="H4" s="4" t="n">
        <v>360000</v>
      </c>
      <c r="I4" s="4" t="n">
        <v>348661</v>
      </c>
      <c r="J4" s="4">
        <f>I4-H4</f>
        <v/>
      </c>
      <c r="K4" s="4" t="n">
        <v>300000</v>
      </c>
      <c r="L4" s="4" t="n">
        <v>276000</v>
      </c>
      <c r="M4" s="4">
        <f>L4-K4</f>
        <v/>
      </c>
      <c r="N4" s="5">
        <f>B4+E4+H4+K4</f>
        <v/>
      </c>
      <c r="O4" s="5">
        <f>C4+F4+I4+L4</f>
        <v/>
      </c>
      <c r="P4" s="5">
        <f>O4-N4</f>
        <v/>
      </c>
      <c r="Q4" s="6">
        <f>P4/O4</f>
        <v/>
      </c>
    </row>
    <row r="5">
      <c r="A5" s="3" t="inlineStr">
        <is>
          <t>CC200 — Marketing</t>
        </is>
      </c>
      <c r="B5" s="4" t="n">
        <v>160000</v>
      </c>
      <c r="C5" s="4" t="n">
        <v>216000</v>
      </c>
      <c r="D5" s="7">
        <f>C5-B5</f>
        <v/>
      </c>
      <c r="E5" s="4" t="n">
        <v>200000</v>
      </c>
      <c r="F5" s="4" t="n">
        <v>204948</v>
      </c>
      <c r="G5" s="4">
        <f>F5-E5</f>
        <v/>
      </c>
      <c r="H5" s="4" t="n">
        <v>240000</v>
      </c>
      <c r="I5" s="4" t="n">
        <v>253177</v>
      </c>
      <c r="J5" s="4">
        <f>I5-H5</f>
        <v/>
      </c>
      <c r="K5" s="4" t="n">
        <v>200000</v>
      </c>
      <c r="L5" s="4" t="n">
        <v>188434</v>
      </c>
      <c r="M5" s="4">
        <f>L5-K5</f>
        <v/>
      </c>
      <c r="N5" s="5">
        <f>B5+E5+H5+K5</f>
        <v/>
      </c>
      <c r="O5" s="5">
        <f>C5+F5+I5+L5</f>
        <v/>
      </c>
      <c r="P5" s="5">
        <f>O5-N5</f>
        <v/>
      </c>
      <c r="Q5" s="6">
        <f>P5/O5</f>
        <v/>
      </c>
    </row>
    <row r="6">
      <c r="A6" s="3" t="inlineStr">
        <is>
          <t>CC300 — Operations</t>
        </is>
      </c>
      <c r="B6" s="4" t="n">
        <v>480000</v>
      </c>
      <c r="C6" s="4" t="n">
        <v>474753</v>
      </c>
      <c r="D6" s="4">
        <f>C6-B6</f>
        <v/>
      </c>
      <c r="E6" s="4" t="n">
        <v>600000</v>
      </c>
      <c r="F6" s="4" t="n">
        <v>560503</v>
      </c>
      <c r="G6" s="4">
        <f>F6-E6</f>
        <v/>
      </c>
      <c r="H6" s="4" t="n">
        <v>720000</v>
      </c>
      <c r="I6" s="4" t="n">
        <v>561600</v>
      </c>
      <c r="J6" s="4">
        <f>I6-H6</f>
        <v/>
      </c>
      <c r="K6" s="4" t="n">
        <v>600000</v>
      </c>
      <c r="L6" s="4" t="n">
        <v>600450</v>
      </c>
      <c r="M6" s="4">
        <f>L6-K6</f>
        <v/>
      </c>
      <c r="N6" s="5">
        <f>B6+E6+H6+K6</f>
        <v/>
      </c>
      <c r="O6" s="5">
        <f>C6+F6+I6+L6</f>
        <v/>
      </c>
      <c r="P6" s="5">
        <f>O6-N6</f>
        <v/>
      </c>
      <c r="Q6" s="6">
        <f>P6/O6</f>
        <v/>
      </c>
    </row>
    <row r="7">
      <c r="A7" s="3" t="inlineStr">
        <is>
          <t>CC400 — IT</t>
        </is>
      </c>
      <c r="B7" s="4" t="n">
        <v>120000</v>
      </c>
      <c r="C7" s="4" t="n">
        <v>112046</v>
      </c>
      <c r="D7" s="4">
        <f>C7-B7</f>
        <v/>
      </c>
      <c r="E7" s="4" t="n">
        <v>150000</v>
      </c>
      <c r="F7" s="4" t="n">
        <v>177000</v>
      </c>
      <c r="G7" s="7">
        <f>F7-E7</f>
        <v/>
      </c>
      <c r="H7" s="4" t="n">
        <v>180000</v>
      </c>
      <c r="I7" s="4" t="n">
        <v>183777</v>
      </c>
      <c r="J7" s="4">
        <f>I7-H7</f>
        <v/>
      </c>
      <c r="K7" s="4" t="n">
        <v>150000</v>
      </c>
      <c r="L7" s="4" t="n">
        <v>150944</v>
      </c>
      <c r="M7" s="4">
        <f>L7-K7</f>
        <v/>
      </c>
      <c r="N7" s="5">
        <f>B7+E7+H7+K7</f>
        <v/>
      </c>
      <c r="O7" s="5">
        <f>C7+F7+I7+L7</f>
        <v/>
      </c>
      <c r="P7" s="5">
        <f>O7-N7</f>
        <v/>
      </c>
      <c r="Q7" s="6">
        <f>P7/O7</f>
        <v/>
      </c>
    </row>
    <row r="8">
      <c r="A8" s="3" t="inlineStr">
        <is>
          <t>CC500 — Finance</t>
        </is>
      </c>
      <c r="B8" s="4" t="n">
        <v>80000</v>
      </c>
      <c r="C8" s="4" t="n">
        <v>76869</v>
      </c>
      <c r="D8" s="4">
        <f>C8-B8</f>
        <v/>
      </c>
      <c r="E8" s="4" t="n">
        <v>100000</v>
      </c>
      <c r="F8" s="4" t="n">
        <v>101250</v>
      </c>
      <c r="G8" s="4">
        <f>F8-E8</f>
        <v/>
      </c>
      <c r="H8" s="4" t="n">
        <v>120000</v>
      </c>
      <c r="I8" s="4" t="n">
        <v>125198</v>
      </c>
      <c r="J8" s="4">
        <f>I8-H8</f>
        <v/>
      </c>
      <c r="K8" s="4" t="n">
        <v>100000</v>
      </c>
      <c r="L8" s="4" t="n">
        <v>93091</v>
      </c>
      <c r="M8" s="4">
        <f>L8-K8</f>
        <v/>
      </c>
      <c r="N8" s="5">
        <f>B8+E8+H8+K8</f>
        <v/>
      </c>
      <c r="O8" s="5">
        <f>C8+F8+I8+L8</f>
        <v/>
      </c>
      <c r="P8" s="5">
        <f>O8-N8</f>
        <v/>
      </c>
      <c r="Q8" s="6">
        <f>P8/O8</f>
        <v/>
      </c>
    </row>
    <row r="9">
      <c r="A9" s="8" t="inlineStr">
        <is>
          <t>GESAMT</t>
        </is>
      </c>
      <c r="B9" s="9">
        <f>SUM(B4:B8)</f>
        <v/>
      </c>
      <c r="C9" s="9">
        <f>SUM(C4:C8)</f>
        <v/>
      </c>
      <c r="D9" s="9">
        <f>SUM(D4:D8)</f>
        <v/>
      </c>
      <c r="E9" s="9">
        <f>SUM(E4:E8)</f>
        <v/>
      </c>
      <c r="F9" s="9">
        <f>SUM(F4:F8)</f>
        <v/>
      </c>
      <c r="G9" s="9">
        <f>SUM(G4:G8)</f>
        <v/>
      </c>
      <c r="H9" s="9">
        <f>SUM(H4:H8)</f>
        <v/>
      </c>
      <c r="I9" s="9">
        <f>SUM(I4:I8)</f>
        <v/>
      </c>
      <c r="J9" s="9">
        <f>SUM(J4:J8)</f>
        <v/>
      </c>
      <c r="K9" s="9">
        <f>SUM(K4:K8)</f>
        <v/>
      </c>
      <c r="L9" s="9">
        <f>SUM(L4:L8)</f>
        <v/>
      </c>
      <c r="M9" s="9">
        <f>SUM(M4:M8)</f>
        <v/>
      </c>
      <c r="N9" s="9">
        <f>SUM(N4:N8)</f>
        <v/>
      </c>
      <c r="O9" s="9">
        <f>SUM(O4:O8)</f>
        <v/>
      </c>
      <c r="P9" s="9">
        <f>SUM(P4:P8)</f>
        <v/>
      </c>
      <c r="Q9" s="10">
        <f>SUM(Q4:Q8)</f>
        <v/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1" t="inlineStr">
        <is>
          <t>Assumptions</t>
        </is>
      </c>
    </row>
    <row r="3">
      <c r="A3" s="3" t="inlineStr">
        <is>
          <t>Budget Year:</t>
        </is>
      </c>
      <c r="B3" t="inlineStr">
        <is>
          <t>2024</t>
        </is>
      </c>
    </row>
    <row r="4">
      <c r="A4" s="3" t="inlineStr">
        <is>
          <t>Currency:</t>
        </is>
      </c>
      <c r="B4" t="inlineStr">
        <is>
          <t>EUR</t>
        </is>
      </c>
    </row>
    <row r="5">
      <c r="A5" s="3" t="inlineStr">
        <is>
          <t>Plan Source:</t>
        </is>
      </c>
      <c r="B5" t="inlineStr">
        <is>
          <t>Annual Budget approved by CFO, Nov 2023</t>
        </is>
      </c>
    </row>
    <row r="6">
      <c r="A6" s="3" t="inlineStr">
        <is>
          <t>Actuals Source:</t>
        </is>
      </c>
      <c r="B6" t="inlineStr">
        <is>
          <t>SAP FI export — last updated 2024-12-01</t>
        </is>
      </c>
    </row>
    <row r="7">
      <c r="A7" s="3" t="inlineStr">
        <is>
          <t>Note:</t>
        </is>
      </c>
      <c r="B7" t="inlineStr">
        <is>
          <t>Q3 Ops variance due to 2 open headcount positions (hiring freeze).</t>
        </is>
      </c>
    </row>
    <row r="8">
      <c r="A8" s="3" t="inlineStr">
        <is>
          <t>Note:</t>
        </is>
      </c>
      <c r="B8" t="inlineStr">
        <is>
          <t>Q1 Marketing overspend approved post-hoc — one-time campaign.</t>
        </is>
      </c>
    </row>
    <row r="9">
      <c r="A9" s="3" t="inlineStr">
        <is>
          <t>TODO:</t>
        </is>
      </c>
      <c r="B9" t="inlineStr">
        <is>
          <t>FX adjustment for CC100 international bookings not yet applied.</t>
        </is>
      </c>
    </row>
    <row r="10">
      <c r="A10" s="3" t="inlineStr">
        <is>
          <t>TODO:</t>
        </is>
      </c>
      <c r="B10" t="inlineStr">
        <is>
          <t>Rechnung von IT-Dienstleister (Nov) fehlt noch — erwartet ~18.000 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2026-09-25T12:12:17Z</dcterms:created>
  <dcterms:modified xsi:type="dcterms:W3CDTF">2026-09-25T12:12:17Z</dcterms:modified>
</cp:coreProperties>
</file>